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TESTER_CICD_CP26SCM02\web-todo\docs\"/>
    </mc:Choice>
  </mc:AlternateContent>
  <xr:revisionPtr revIDLastSave="0" documentId="13_ncr:1_{3E8D1F73-FD31-44B5-AFAB-A03435EB2AC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shboard" sheetId="1" r:id="rId1"/>
    <sheet name="TestCase" sheetId="2" r:id="rId2"/>
  </sheets>
  <calcPr calcId="191029"/>
  <fileRecoveryPr repairLoad="1"/>
</workbook>
</file>

<file path=xl/calcChain.xml><?xml version="1.0" encoding="utf-8"?>
<calcChain xmlns="http://schemas.openxmlformats.org/spreadsheetml/2006/main">
  <c r="C7" i="1" l="1"/>
  <c r="C6" i="1"/>
  <c r="C8" i="1" l="1"/>
  <c r="D6" i="1" l="1"/>
  <c r="D7" i="1"/>
  <c r="D8" i="1" l="1"/>
</calcChain>
</file>

<file path=xl/sharedStrings.xml><?xml version="1.0" encoding="utf-8"?>
<sst xmlns="http://schemas.openxmlformats.org/spreadsheetml/2006/main" count="29" uniqueCount="27">
  <si>
    <t>DASHBOARD TỔNG HỢP TOÀN BỘ DỰ ÁN</t>
  </si>
  <si>
    <t>Trạng thái</t>
  </si>
  <si>
    <t>Số lượng</t>
  </si>
  <si>
    <t>Tỷ lệ %</t>
  </si>
  <si>
    <t>PASS</t>
  </si>
  <si>
    <t>FAIL</t>
  </si>
  <si>
    <t>Tổng cộng</t>
  </si>
  <si>
    <t>TEST CASE ID</t>
  </si>
  <si>
    <t>TEST CASE</t>
  </si>
  <si>
    <t>TEST STEPS</t>
  </si>
  <si>
    <t>TEST DATA</t>
  </si>
  <si>
    <t>EXPECTED RESULT</t>
  </si>
  <si>
    <t>ACTUAL RESULT</t>
  </si>
  <si>
    <t>STATUS
(PASS/FAIL)</t>
  </si>
  <si>
    <t>TC_LOG_01</t>
  </si>
  <si>
    <t>Kiểm tra đăng nhập hệ thống thành công</t>
  </si>
  <si>
    <t>1. Nhập email đúng
2. Nhập mật khẩu đúng
3. Bấm Đăng nhập</t>
  </si>
  <si>
    <t>user@test.com / 123456</t>
  </si>
  <si>
    <t>Vao trang chu Dashboard</t>
  </si>
  <si>
    <t>Đăng nhập thành công</t>
  </si>
  <si>
    <t>TC_LOG_02</t>
  </si>
  <si>
    <t>Kiểm tra đăng nhập điền sai mật khẩu</t>
  </si>
  <si>
    <t>1. Nhập email đúng
2. Nhập mật khẩu sai
3. Bấm Đăng nhập</t>
  </si>
  <si>
    <t>user@test.com / wrong123</t>
  </si>
  <si>
    <t>Hiển thị lỗi mật khẩu</t>
  </si>
  <si>
    <t>Hiển thị đúng lỗi mật khẩu</t>
  </si>
  <si>
    <t xml:space="preserve">Bảng Thống Kê Số Liệu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</si>
</sst>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6"/>
      <color rgb="FF2C3E50"/>
      <name val="Segoe UI"/>
      <family val="2"/>
    </font>
    <font>
      <b/>
      <sz val="10"/>
      <color rgb="FFFFFFFF"/>
      <name val="Segoe UI"/>
      <family val="2"/>
    </font>
    <font>
      <sz val="10"/>
      <color rgb="FF000000"/>
      <name val="Segoe UI"/>
      <family val="2"/>
    </font>
    <font>
      <b/>
      <sz val="10"/>
      <color rgb="FF2E7D32"/>
      <name val="Segoe UI"/>
      <family val="2"/>
    </font>
    <font>
      <b/>
      <sz val="12"/>
      <color rgb="FF2C3E50"/>
      <name val="Segoe UI"/>
      <family val="2"/>
    </font>
    <font>
      <b/>
      <sz val="10"/>
      <color rgb="FF00000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E8F5E9"/>
        <bgColor rgb="FFE8F5E9"/>
      </patternFill>
    </fill>
    <fill>
      <patternFill patternType="solid">
        <fgColor rgb="FFF8F9F9"/>
        <bgColor rgb="FFF8F9F9"/>
      </patternFill>
    </fill>
    <fill>
      <patternFill patternType="solid">
        <fgColor rgb="FFEAEDED"/>
        <bgColor rgb="FFEAEDED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5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right" vertical="center" wrapText="1"/>
    </xf>
    <xf numFmtId="0" fontId="6" fillId="5" borderId="1" xfId="0" applyFont="1" applyFill="1" applyBorder="1"/>
    <xf numFmtId="0" fontId="6" fillId="5" borderId="1" xfId="0" applyFont="1" applyFill="1" applyBorder="1" applyAlignment="1">
      <alignment horizontal="center" vertical="center" wrapText="1"/>
    </xf>
    <xf numFmtId="164" fontId="6" fillId="5" borderId="1" xfId="0" applyNumberFormat="1" applyFont="1" applyFill="1" applyBorder="1" applyAlignment="1">
      <alignment horizontal="right" vertical="center" wrapText="1"/>
    </xf>
    <xf numFmtId="0" fontId="3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">
    <dxf>
      <font>
        <color rgb="FF9C000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Tỷ lệ Kết quả Toàn dự án 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Dashboard!$C$5</c:f>
              <c:strCache>
                <c:ptCount val="1"/>
                <c:pt idx="0">
                  <c:v>Số lượng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Dashboard!$B$6:$B$7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Dashboard!$C$6:$C$7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5B-4B2E-9CC7-E08938DD6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612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8"/>
  <sheetViews>
    <sheetView workbookViewId="0">
      <selection activeCell="B25" sqref="B25"/>
    </sheetView>
  </sheetViews>
  <sheetFormatPr defaultRowHeight="14.4" x14ac:dyDescent="0.3"/>
  <cols>
    <col min="2" max="2" width="16" customWidth="1"/>
    <col min="3" max="4" width="14" customWidth="1"/>
  </cols>
  <sheetData>
    <row r="2" spans="2:4" ht="24.6" x14ac:dyDescent="0.55000000000000004">
      <c r="B2" s="1" t="s">
        <v>0</v>
      </c>
    </row>
    <row r="4" spans="2:4" ht="19.2" x14ac:dyDescent="0.45">
      <c r="B4" s="2" t="s">
        <v>26</v>
      </c>
    </row>
    <row r="5" spans="2:4" ht="15" x14ac:dyDescent="0.3">
      <c r="B5" s="3" t="s">
        <v>1</v>
      </c>
      <c r="C5" s="3" t="s">
        <v>2</v>
      </c>
      <c r="D5" s="3" t="s">
        <v>3</v>
      </c>
    </row>
    <row r="6" spans="2:4" ht="24" customHeight="1" x14ac:dyDescent="0.35">
      <c r="B6" s="4" t="s">
        <v>4</v>
      </c>
      <c r="C6" s="5">
        <f ca="1">SUMPRODUCT(COUNTIF(INDIRECT("'"&amp;{"TestCase"}&amp;"'!G:G"), "PASS"))</f>
        <v>1</v>
      </c>
      <c r="D6" s="6">
        <f ca="1">C6/$C$8</f>
        <v>0.5</v>
      </c>
    </row>
    <row r="7" spans="2:4" ht="15" x14ac:dyDescent="0.35">
      <c r="B7" s="4" t="s">
        <v>5</v>
      </c>
      <c r="C7" s="5">
        <f ca="1">SUMPRODUCT(COUNTIF(INDIRECT("'"&amp;{"TestCase"}&amp;"'!G:G"), "FAIL"))</f>
        <v>1</v>
      </c>
      <c r="D7" s="6">
        <f ca="1">C7/$C$8</f>
        <v>0.5</v>
      </c>
    </row>
    <row r="8" spans="2:4" ht="15" x14ac:dyDescent="0.35">
      <c r="B8" s="7" t="s">
        <v>6</v>
      </c>
      <c r="C8" s="8">
        <f ca="1">SUM(C6:C7)</f>
        <v>2</v>
      </c>
      <c r="D8" s="9">
        <f ca="1">SUM(D6:D7)</f>
        <v>1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G9"/>
  <sheetViews>
    <sheetView tabSelected="1" zoomScaleNormal="100" workbookViewId="0">
      <selection activeCell="D7" sqref="D7"/>
    </sheetView>
  </sheetViews>
  <sheetFormatPr defaultRowHeight="14.4" x14ac:dyDescent="0.3"/>
  <cols>
    <col min="1" max="1" width="15" customWidth="1"/>
    <col min="2" max="2" width="32" customWidth="1"/>
    <col min="3" max="3" width="30" customWidth="1"/>
    <col min="4" max="4" width="22" customWidth="1"/>
    <col min="5" max="6" width="28" customWidth="1"/>
    <col min="7" max="7" width="15" customWidth="1"/>
  </cols>
  <sheetData>
    <row r="4" spans="1:7" ht="30" x14ac:dyDescent="0.3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</row>
    <row r="5" spans="1:7" ht="45" x14ac:dyDescent="0.3">
      <c r="A5" s="5" t="s">
        <v>14</v>
      </c>
      <c r="B5" s="10" t="s">
        <v>15</v>
      </c>
      <c r="C5" s="10" t="s">
        <v>16</v>
      </c>
      <c r="D5" s="10" t="s">
        <v>17</v>
      </c>
      <c r="E5" s="10" t="s">
        <v>18</v>
      </c>
      <c r="F5" s="10" t="s">
        <v>19</v>
      </c>
      <c r="G5" s="11" t="s">
        <v>5</v>
      </c>
    </row>
    <row r="6" spans="1:7" ht="45" x14ac:dyDescent="0.3">
      <c r="A6" s="12" t="s">
        <v>20</v>
      </c>
      <c r="B6" s="13" t="s">
        <v>21</v>
      </c>
      <c r="C6" s="13" t="s">
        <v>22</v>
      </c>
      <c r="D6" s="13" t="s">
        <v>23</v>
      </c>
      <c r="E6" s="13" t="s">
        <v>24</v>
      </c>
      <c r="F6" s="13" t="s">
        <v>25</v>
      </c>
      <c r="G6" s="11" t="s">
        <v>4</v>
      </c>
    </row>
    <row r="7" spans="1:7" ht="28.05" customHeight="1" x14ac:dyDescent="0.3"/>
    <row r="8" spans="1:7" ht="45" customHeight="1" x14ac:dyDescent="0.3"/>
    <row r="9" spans="1:7" ht="45" customHeight="1" x14ac:dyDescent="0.3"/>
  </sheetData>
  <conditionalFormatting sqref="G1:G1048576">
    <cfRule type="cellIs" dxfId="0" priority="1" operator="equal">
      <formula>"FAIL"</formula>
    </cfRule>
  </conditionalFormatting>
  <dataValidations count="1">
    <dataValidation type="list" allowBlank="1" errorTitle="Lỗi nhập dữ liệu" error="Bạn chỉ được phép chọn trạng thái từ danh sách thả xuống là PASS hoặc FAIL!" promptTitle="Chọn trạng thái" prompt="Vui lòng bấm mũi tên và chọn trạng thái kiểm thử" sqref="G10:G2003 G4:G6" xr:uid="{00000000-0002-0000-0100-000000000000}">
      <formula1>"PASS,FAIL"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TestCase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 Huynh</cp:lastModifiedBy>
  <dcterms:created xsi:type="dcterms:W3CDTF">2026-05-26T15:35:09Z</dcterms:created>
  <dcterms:modified xsi:type="dcterms:W3CDTF">2026-05-27T13:03:22Z</dcterms:modified>
</cp:coreProperties>
</file>